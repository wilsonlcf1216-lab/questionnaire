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tecdrive01\pwh_redevelopment$\Lui share\Sample ward\"/>
    </mc:Choice>
  </mc:AlternateContent>
  <xr:revisionPtr revIDLastSave="0" documentId="13_ncr:1_{5F601090-D2F7-461C-9693-83A71F539E15}" xr6:coauthVersionLast="47" xr6:coauthVersionMax="47" xr10:uidLastSave="{00000000-0000-0000-0000-000000000000}"/>
  <bookViews>
    <workbookView xWindow="-120" yWindow="-120" windowWidth="29040" windowHeight="17520" tabRatio="454" activeTab="3" xr2:uid="{00000000-000D-0000-FFFF-FFFF00000000}"/>
  </bookViews>
  <sheets>
    <sheet name="Summary Dashboard" sheetId="1" r:id="rId1"/>
    <sheet name="Settings_Ref" sheetId="2" state="hidden" r:id="rId2"/>
    <sheet name="Ward Office Checklist" sheetId="3" r:id="rId3"/>
    <sheet name="Patient Cubicle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 i="1" l="1"/>
  <c r="D8" i="1"/>
  <c r="C8" i="1"/>
  <c r="B8" i="1"/>
  <c r="F8" i="1"/>
  <c r="F7" i="1"/>
  <c r="E7" i="1"/>
  <c r="D7" i="1"/>
  <c r="C7" i="1"/>
  <c r="B7" i="1"/>
  <c r="F9" i="1" l="1"/>
  <c r="E9" i="1"/>
  <c r="D9" i="1"/>
  <c r="D12" i="1" s="1"/>
  <c r="C9" i="1"/>
  <c r="A12" i="1" s="1"/>
  <c r="B9" i="1"/>
  <c r="G8" i="1"/>
  <c r="G7" i="1"/>
  <c r="G9" i="1" l="1"/>
</calcChain>
</file>

<file path=xl/sharedStrings.xml><?xml version="1.0" encoding="utf-8"?>
<sst xmlns="http://schemas.openxmlformats.org/spreadsheetml/2006/main" count="320" uniqueCount="213">
  <si>
    <t>Hospital Ward Pre-Handover Inspection Dashboard</t>
  </si>
  <si>
    <t>WARD INSPECTION METRICS</t>
  </si>
  <si>
    <t>Inspection Zone</t>
  </si>
  <si>
    <t>Total Items</t>
  </si>
  <si>
    <t>Passed</t>
  </si>
  <si>
    <t>Failed</t>
  </si>
  <si>
    <t>Pending</t>
  </si>
  <si>
    <t>N/A</t>
  </si>
  <si>
    <t>Completion %</t>
  </si>
  <si>
    <t>Ward Offices (APN/NO &amp; WM)</t>
  </si>
  <si>
    <t>Patient Cubicle (6-Bed Room)</t>
  </si>
  <si>
    <t>Total Ward Summary</t>
  </si>
  <si>
    <t>OVERALL PASSED ITEMS</t>
  </si>
  <si>
    <t>TOTAL DEFECTS FOUND</t>
  </si>
  <si>
    <t>Status Options</t>
  </si>
  <si>
    <t>Pass</t>
  </si>
  <si>
    <t>Fail</t>
  </si>
  <si>
    <t>Pre-Handover Snagging Checklist: Ward Offices (APN/NO &amp; WM Rooms)</t>
  </si>
  <si>
    <t>Note: Select Pass, Fail, Pending, or N/A from the dropdown list in the Status column.</t>
  </si>
  <si>
    <t>Item ID</t>
  </si>
  <si>
    <t>Category</t>
  </si>
  <si>
    <t>Element / Feature</t>
  </si>
  <si>
    <t>Layman Checking Instructions (Look, Touch, Try)</t>
  </si>
  <si>
    <t>Status</t>
  </si>
  <si>
    <t>Notes / Defect Details</t>
  </si>
  <si>
    <t>Target Location</t>
  </si>
  <si>
    <t>OFF-01</t>
  </si>
  <si>
    <t>Finishes</t>
  </si>
  <si>
    <t>Ceiling Panels</t>
  </si>
  <si>
    <t>Look up at the ceiling tiles. Check for any water stains, dark smudges, dirty fingerprints, open gaps, or cracked panels.</t>
  </si>
  <si>
    <t>Both Offices</t>
  </si>
  <si>
    <t>OFF-02</t>
  </si>
  <si>
    <t>Wall Paint &amp; Surface</t>
  </si>
  <si>
    <t>Check paint coverage. Look closely around door frames, light switches, and corners for scratches, chips, or plaster cracks.</t>
  </si>
  <si>
    <t>OFF-03</t>
  </si>
  <si>
    <t>Vinyl Flooring</t>
  </si>
  <si>
    <t>Walk across the entire room. Check if the vinyl feels completely flat and smooth. Look for bubbles, tears, or unglued edges.</t>
  </si>
  <si>
    <t>OFF-04</t>
  </si>
  <si>
    <t>Skirt / Bottom Trim</t>
  </si>
  <si>
    <t>Ensure the plastic border trim where the wall meets the floor is glued completely tight all the way around without open gaps.</t>
  </si>
  <si>
    <t>OFF-05</t>
  </si>
  <si>
    <t>Wall Glazing / Glass</t>
  </si>
  <si>
    <t>Check any interior glass windows or glass wall partitions. Ensure they are totally clean, scratch-free, and sealed tightly in frames.</t>
  </si>
  <si>
    <t>OFF-06</t>
  </si>
  <si>
    <t>Doors &amp; Locks</t>
  </si>
  <si>
    <t>Door Operation &amp; Closer</t>
  </si>
  <si>
    <t>Open the door fully and release it. Check if the door closer shuts the door smoothly, securely, and quietly on its own without slamming.</t>
  </si>
  <si>
    <t>OFF-07</t>
  </si>
  <si>
    <t>Door Cosmetic Damage</t>
  </si>
  <si>
    <t>Inspect both sides of the door surface and edges for dents, structural scratches, or missing finish.</t>
  </si>
  <si>
    <t>OFF-08</t>
  </si>
  <si>
    <t>Door Protection Plates</t>
  </si>
  <si>
    <t>Check the bottom kickplates and push plates. Ensure they are cleanly aligned and securely screwed/attached to the door.</t>
  </si>
  <si>
    <t>OFF-09</t>
  </si>
  <si>
    <t>Lock &amp; Keypad/Badge</t>
  </si>
  <si>
    <t>Try the key, keypad, or badge swipe 3 times. Ensure it locks and unlocks easily. Turn internal handle to confirm escape route is always clear.</t>
  </si>
  <si>
    <t>OFF-10</t>
  </si>
  <si>
    <t>Vision Panel Glass</t>
  </si>
  <si>
    <t>Look at the small window embedded in the door. Is the glass perfectly clean, unbroken, and firmly fixed within its molding?</t>
  </si>
  <si>
    <t>OFF-11</t>
  </si>
  <si>
    <t>Hinges</t>
  </si>
  <si>
    <t>Listen closely while moving the door back and forth. Ensure there are no squeaking, scraping, or grinding sounds.</t>
  </si>
  <si>
    <t>OFF-12</t>
  </si>
  <si>
    <t>Lighting</t>
  </si>
  <si>
    <t>Wall Switches</t>
  </si>
  <si>
    <t>Verify all wall switches are mounted perfectly straight, clean, and positioned at a uniform, comfortable height.</t>
  </si>
  <si>
    <t>OFF-13</t>
  </si>
  <si>
    <t>Switch Operation</t>
  </si>
  <si>
    <t>Click every single switch on and off. Make sure the correct lights respond (e.g., separate switches for main lights vs. desk task lights).</t>
  </si>
  <si>
    <t>OFF-14</t>
  </si>
  <si>
    <t>Flickering &amp; Noise</t>
  </si>
  <si>
    <t>Turn all office lights on and stand quietly. Ensure there is zero micro-flickering, blinking, humming, or buzzing from the ceiling fixtures.</t>
  </si>
  <si>
    <t>OFF-15</t>
  </si>
  <si>
    <t>Dimming Controls</t>
  </si>
  <si>
    <t>If dimmers are installed, turn the knob/slider up and down slowly. Ensure the light fades smoothly without flashing or shutting down abruptly.</t>
  </si>
  <si>
    <t>OFF-16</t>
  </si>
  <si>
    <t>Light Color Balance</t>
  </si>
  <si>
    <t>Look up at all light fixtures simultaneously. Ensure they all emit the exact same shade of crisp white light (no mismatched yellow bulbs).</t>
  </si>
  <si>
    <t>OFF-17</t>
  </si>
  <si>
    <t>Shadows / Blinding Glare</t>
  </si>
  <si>
    <t>Sit where the office desks will be. Ensure light falls clearly over the workspace without creating blinding reflections or casting heavy shadows.</t>
  </si>
  <si>
    <t>OFF-18</t>
  </si>
  <si>
    <t>Furniture</t>
  </si>
  <si>
    <t>Cabinet Counts</t>
  </si>
  <si>
    <t>Count the installed units to match the plan: APN Office needs 3 floor cabinets (FLC) + 3 wall units (WHC). WM Office needs full-height cabinets (FHC).</t>
  </si>
  <si>
    <t>OFF-19</t>
  </si>
  <si>
    <t>Doors &amp; Drawers</t>
  </si>
  <si>
    <t>Open and close every single cabinet door and drawer. Ensure they slide smoothly, latch tightly, and align perfectly flush.</t>
  </si>
  <si>
    <t>OFF-20</t>
  </si>
  <si>
    <t>Workmanship &amp; Edges</t>
  </si>
  <si>
    <t>Run your hands safely along the edges of built-in counters and cabinets. Ensure no sharp corners, laminate peel, or loose handles exist.</t>
  </si>
  <si>
    <t>OFF-21</t>
  </si>
  <si>
    <t>Wall-Unit Anchor Strength</t>
  </si>
  <si>
    <t>Give the wall-hung cabinets a gentle but firm tug from underneath. Ensure they are completely solid and securely anchored to the wall.</t>
  </si>
  <si>
    <t>OFF-22</t>
  </si>
  <si>
    <t>Building Services</t>
  </si>
  <si>
    <t>Power Sockets</t>
  </si>
  <si>
    <t>Locate all electrical outlets on walls. Verify the plastic cover plates are perfectly straight and firmly screwed flush against the drywall.</t>
  </si>
  <si>
    <t>OFF-23</t>
  </si>
  <si>
    <t>Dataports (HAIT)</t>
  </si>
  <si>
    <t>Find the network/computer internet jacks. Ensure the plastic casing is entirely intact, clean inside, and free of construction paint.</t>
  </si>
  <si>
    <t>OFF-24</t>
  </si>
  <si>
    <t>Communication (PABX)</t>
  </si>
  <si>
    <t>Locate the telephone/fax line wall plug points. Ensure they are completely uncovered and fully accessible (not blocked by cabinetry).</t>
  </si>
  <si>
    <t>Pre-Handover Snagging Checklist: Patient Cubicle (6-Bed Room 1A/1B)</t>
  </si>
  <si>
    <t>Target Location / Bed Column</t>
  </si>
  <si>
    <t>Entire Cubicle</t>
  </si>
  <si>
    <t>CUB-02</t>
  </si>
  <si>
    <t>Ceiling Hoist Rail</t>
  </si>
  <si>
    <t>Ceiling Area</t>
  </si>
  <si>
    <t>CUB-03</t>
  </si>
  <si>
    <t>Walls/Windows</t>
  </si>
  <si>
    <t>CUB-04</t>
  </si>
  <si>
    <t>Floor Area</t>
  </si>
  <si>
    <t>CUB-05</t>
  </si>
  <si>
    <t>Privacy Curtain Tracks</t>
  </si>
  <si>
    <t>All 6 Bed Spaces</t>
  </si>
  <si>
    <t>CUB-06</t>
  </si>
  <si>
    <t>CUB-07</t>
  </si>
  <si>
    <t>Switch Mapping</t>
  </si>
  <si>
    <t>CUB-08</t>
  </si>
  <si>
    <t>CUB-09</t>
  </si>
  <si>
    <t>Dimming Adjustments</t>
  </si>
  <si>
    <t>Control Switches</t>
  </si>
  <si>
    <t>CUB-10</t>
  </si>
  <si>
    <t>Color &amp; Shadow Uniformity</t>
  </si>
  <si>
    <t>CUB-11</t>
  </si>
  <si>
    <t>Vertical Bedhead Trunk</t>
  </si>
  <si>
    <t>CUB-12</t>
  </si>
  <si>
    <t>Mounting Blades / Arms</t>
  </si>
  <si>
    <t>CUB-13</t>
  </si>
  <si>
    <t>CUB-14</t>
  </si>
  <si>
    <t>Power Outlets &amp; Plugs</t>
  </si>
  <si>
    <t>CUB-15</t>
  </si>
  <si>
    <t>USB Charging Ports</t>
  </si>
  <si>
    <t>Visually check that the dedicated USB slot modules are undamaged, securely clipped in place, and level.</t>
  </si>
  <si>
    <t>CUB-16</t>
  </si>
  <si>
    <t>Nurse Call Interface</t>
  </si>
  <si>
    <t>Locate the emergency red button / pull-string interface plug. Click or pull it to confirm visual response signals trigger successfully.</t>
  </si>
  <si>
    <t>CUB-17</t>
  </si>
  <si>
    <t>Medical Gas Outlets (O2)</t>
  </si>
  <si>
    <t>CUB-18</t>
  </si>
  <si>
    <t>Medical Vacuum / Suction</t>
  </si>
  <si>
    <t>CUB-19</t>
  </si>
  <si>
    <t>Sanitary Fitments</t>
  </si>
  <si>
    <t>Wash Hand Basin (LW-HH)</t>
  </si>
  <si>
    <t>Run the water faucet tap fully for 15 seconds. Ensure water drains away rapidly. Look underneath to confirm absolutely zero pipe leaks.</t>
  </si>
  <si>
    <t>Sink Alcove Zone</t>
  </si>
  <si>
    <t>CUB-20</t>
  </si>
  <si>
    <t>IPS Backing Panels</t>
  </si>
  <si>
    <t>Check the smooth plastic access panels directly behind the sink basin. Ensure they are cleanly caulk-sealed to keep water out of walls.</t>
  </si>
  <si>
    <t>CUB-21</t>
  </si>
  <si>
    <t>Manual Glove Dispenser</t>
  </si>
  <si>
    <t>Confirm the stainless steel or plastic glove box bracket frame is bolted solidly to the wall structure with zero wiggle.</t>
  </si>
  <si>
    <t>CUB-22</t>
  </si>
  <si>
    <t>Auto Soap Dispenser</t>
  </si>
  <si>
    <t>Wave your hand directly beneath the touchless soap module sensor. Ensure the device clicks or lights up indicating battery/power is live.</t>
  </si>
  <si>
    <t>CUB-23</t>
  </si>
  <si>
    <t>Paper Towel Dispenser</t>
  </si>
  <si>
    <t>Give the paper towel cabinet casing a firm pull. Ensure it is anchored cleanly and the bottom slot dispenses without catching.</t>
  </si>
  <si>
    <t>CUB-24</t>
  </si>
  <si>
    <t>Miscellaneous</t>
  </si>
  <si>
    <t>Ward Wall Clock (CK2)</t>
  </si>
  <si>
    <t>Look at the main ward clock. Ensure it is hung perfectly level, the face is scratch-free, and the hands are actively moving.</t>
  </si>
  <si>
    <t>Shared Central Wall</t>
  </si>
  <si>
    <t>CUB-25</t>
  </si>
  <si>
    <t>TV Support Pole &amp; Plugs</t>
  </si>
  <si>
    <t>Locate the structural support pole for the 55-CM TV. Shake it firmly—must hold a heavy television. Check nearby electricity/coaxial sockets.</t>
  </si>
  <si>
    <t>CUB-26</t>
  </si>
  <si>
    <t>Cubicle Common Walls</t>
  </si>
  <si>
    <t>Window Curtains</t>
    <phoneticPr fontId="10" type="noConversion"/>
  </si>
  <si>
    <t>Window Side</t>
    <phoneticPr fontId="10" type="noConversion"/>
  </si>
  <si>
    <t>Housekeeping / Spared Sockets</t>
    <phoneticPr fontId="10" type="noConversion"/>
  </si>
  <si>
    <t>Bedhead Wall Protection</t>
  </si>
  <si>
    <t>CUB-27</t>
  </si>
  <si>
    <t>CUB-28</t>
  </si>
  <si>
    <t>Switches &amp; Plates</t>
    <phoneticPr fontId="10" type="noConversion"/>
  </si>
  <si>
    <t>ACMV</t>
    <phoneticPr fontId="10" type="noConversion"/>
  </si>
  <si>
    <t>Air Supply Diffusers</t>
  </si>
  <si>
    <t>Return Air Grilles</t>
  </si>
  <si>
    <t>Look up at the square metal vents that blow fresh air into the room. Check that the white frames are screwed flush tightly to the ceiling grid without gaps. Look inside the fins—make sure there are no black smudges, fingerprint marks, or thick construction dust blocking the air paths.</t>
  </si>
  <si>
    <t>Look up at the slatted intake grilles that pull air out of the room. Stand directly under them for 5 seconds—listen closely to make sure they do not make a high-pitched whistling, rattling, or vibrating sound while the air system is running.</t>
  </si>
  <si>
    <t>CUB-29</t>
  </si>
  <si>
    <t>CUB-30</t>
  </si>
  <si>
    <t>CUB-01</t>
    <phoneticPr fontId="10" type="noConversion"/>
  </si>
  <si>
    <t>Finishes</t>
    <phoneticPr fontId="10" type="noConversion"/>
  </si>
  <si>
    <t>All 6 Bed Spaces</t>
    <phoneticPr fontId="10" type="noConversion"/>
  </si>
  <si>
    <t>Ceiling Panels / Paints</t>
    <phoneticPr fontId="10" type="noConversion"/>
  </si>
  <si>
    <t>1. Paints: Verify uniform coverage and color; check for bubbling, peeling, or water stains.
2. Panels: Verify flat alignment with no gaps or water stains. Ensure cutout edges are cleanly finished.</t>
    <phoneticPr fontId="10" type="noConversion"/>
  </si>
  <si>
    <t>1. Rail Fit: Check for gaps between the hoist rail and ceiling panels.
2. Operation: Verify the hoist slides smoothly.</t>
    <phoneticPr fontId="10" type="noConversion"/>
  </si>
  <si>
    <t>FM</t>
    <phoneticPr fontId="10" type="noConversion"/>
  </si>
  <si>
    <t>Walls &amp; Wall Glazing</t>
    <phoneticPr fontId="10" type="noConversion"/>
  </si>
  <si>
    <t>CUB-05</t>
    <phoneticPr fontId="10" type="noConversion"/>
  </si>
  <si>
    <t>Perimeter Glass &amp; Frames</t>
  </si>
  <si>
    <t>Check surfaces for scratches, chips, or cracks; ensure zero gaps, peeling, or punctures.</t>
    <phoneticPr fontId="10" type="noConversion"/>
  </si>
  <si>
    <t>1. Wall: Check paint finish. Confirm zero visible dry cracks or structural chips. 
2. Glazing: Check glass for cleanliness/damage and ensure all surfaces are free of scratches, chips, cracks, gaps, peeling, or punctures.</t>
    <phoneticPr fontId="10" type="noConversion"/>
  </si>
  <si>
    <t>Verify that the bedhead wall bumper rail is securely installed at the correct height to prevent bed impact damage.</t>
    <phoneticPr fontId="10" type="noConversion"/>
  </si>
  <si>
    <t>Vinyl Sheet Floor &amp; Skirt</t>
    <phoneticPr fontId="10" type="noConversion"/>
  </si>
  <si>
    <t>Inspect floor for unevenness or bubbling, ensuring all weld lines are flush and coved skirting is tightly sealed.</t>
    <phoneticPr fontId="10" type="noConversion"/>
  </si>
  <si>
    <t>Test curtains to ensure they open and close fully without jamming, and verify the fabric is clean and undamaged.</t>
    <phoneticPr fontId="10" type="noConversion"/>
  </si>
  <si>
    <t>Verify switches, and plates are level, securely mounted, no loose fittings or sunken plates.</t>
    <phoneticPr fontId="10" type="noConversion"/>
  </si>
  <si>
    <t>Test switches to confirm correct mapping for overhead and bed reading lights.</t>
    <phoneticPr fontId="10" type="noConversion"/>
  </si>
  <si>
    <t>Turn fixtures on, check for flickering lights or panel humming.</t>
    <phoneticPr fontId="10" type="noConversion"/>
  </si>
  <si>
    <t>Test night dimmers to ensure smooth, flicker-free dimming.</t>
    <phoneticPr fontId="10" type="noConversion"/>
  </si>
  <si>
    <t>Verify uniform brightness and color, ensure no dark spots in clinical patient zones.</t>
    <phoneticPr fontId="10" type="noConversion"/>
  </si>
  <si>
    <t>Verify bedhead panel height and configuration match layouts, with zero sharp edges or wall gaps.</t>
    <phoneticPr fontId="10" type="noConversion"/>
  </si>
  <si>
    <t>Verify suspended equipment arms are securely wall-mounted without shaking and rotate smoothly.</t>
    <phoneticPr fontId="10" type="noConversion"/>
  </si>
  <si>
    <t>Verify data ports are flush and level, and the outer casing is undamaged and not recessed.</t>
    <phoneticPr fontId="10" type="noConversion"/>
  </si>
  <si>
    <t>Verify power outlet quantities, labeling, and color-coding are correct, and plates are secure and flush.</t>
    <phoneticPr fontId="10" type="noConversion"/>
  </si>
  <si>
    <t>Verify correct gas type, quantity, position, and color-coded labels; ensure outer rings are secure with zero leakage.</t>
    <phoneticPr fontId="10" type="noConversion"/>
  </si>
  <si>
    <t>combine?</t>
    <phoneticPr fontId="10" type="noConversion"/>
  </si>
  <si>
    <t>CUB-31</t>
    <phoneticPr fontId="10" type="noConversion"/>
  </si>
  <si>
    <t>Bed Identification</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</si>
</sst>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x14ac:knownFonts="1">
    <font>
      <sz val="11"/>
      <color theme="1"/>
      <name val="新細明體"/>
      <family val="2"/>
      <scheme val="minor"/>
    </font>
    <font>
      <b/>
      <sz val="11"/>
      <color rgb="FFFFFFFF"/>
      <name val="Segoe UI"/>
      <family val="2"/>
    </font>
    <font>
      <b/>
      <sz val="16"/>
      <color rgb="FFFFFFFF"/>
      <name val="Segoe UI"/>
      <family val="2"/>
    </font>
    <font>
      <b/>
      <sz val="12"/>
      <color rgb="FF333333"/>
      <name val="Segoe UI"/>
      <family val="2"/>
    </font>
    <font>
      <sz val="10"/>
      <color rgb="FF333333"/>
      <name val="Segoe UI"/>
      <family val="2"/>
    </font>
    <font>
      <b/>
      <sz val="10"/>
      <color rgb="FF333333"/>
      <name val="Segoe UI"/>
      <family val="2"/>
    </font>
    <font>
      <sz val="9"/>
      <color rgb="FF555555"/>
      <name val="Segoe UI"/>
      <family val="2"/>
    </font>
    <font>
      <b/>
      <sz val="20"/>
      <color rgb="FF2C5E6A"/>
      <name val="Segoe UI"/>
      <family val="2"/>
    </font>
    <font>
      <b/>
      <sz val="20"/>
      <color rgb="FF721C24"/>
      <name val="Segoe UI"/>
      <family val="2"/>
    </font>
    <font>
      <i/>
      <sz val="10"/>
      <color rgb="FF555555"/>
      <name val="Segoe UI"/>
      <family val="2"/>
    </font>
    <font>
      <sz val="9"/>
      <name val="新細明體"/>
      <family val="3"/>
      <charset val="136"/>
      <scheme val="minor"/>
    </font>
  </fonts>
  <fills count="8">
    <fill>
      <patternFill patternType="none"/>
    </fill>
    <fill>
      <patternFill patternType="gray125"/>
    </fill>
    <fill>
      <patternFill patternType="solid">
        <fgColor rgb="FF2C5E6A"/>
        <bgColor rgb="FF2C5E6A"/>
      </patternFill>
    </fill>
    <fill>
      <patternFill patternType="solid">
        <fgColor rgb="FFF2F7F8"/>
        <bgColor rgb="FFF2F7F8"/>
      </patternFill>
    </fill>
    <fill>
      <patternFill patternType="solid">
        <fgColor rgb="FFF4F6F7"/>
        <bgColor rgb="FFF4F6F7"/>
      </patternFill>
    </fill>
    <fill>
      <patternFill patternType="solid">
        <fgColor theme="6"/>
        <bgColor indexed="64"/>
      </patternFill>
    </fill>
    <fill>
      <patternFill patternType="solid">
        <fgColor rgb="FFFF0000"/>
        <bgColor indexed="64"/>
      </patternFill>
    </fill>
    <fill>
      <patternFill patternType="solid">
        <fgColor rgb="FFFFFF00"/>
        <bgColor indexed="64"/>
      </patternFill>
    </fill>
  </fills>
  <borders count="4">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double">
        <color rgb="FF2C5E6A"/>
      </bottom>
      <diagonal/>
    </border>
    <border>
      <left style="thin">
        <color rgb="FFD0D7DE"/>
      </left>
      <right style="thin">
        <color rgb="FFD0D7DE"/>
      </right>
      <top/>
      <bottom/>
      <diagonal/>
    </border>
  </borders>
  <cellStyleXfs count="1">
    <xf numFmtId="0" fontId="0" fillId="0" borderId="0"/>
  </cellStyleXfs>
  <cellXfs count="26">
    <xf numFmtId="0" fontId="0" fillId="0" borderId="0" xfId="0"/>
    <xf numFmtId="0" fontId="3" fillId="0" borderId="0" xfId="0" applyFont="1"/>
    <xf numFmtId="0" fontId="1" fillId="2" borderId="0" xfId="0" applyFont="1" applyFill="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76" fontId="4" fillId="0" borderId="1" xfId="0" applyNumberFormat="1" applyFont="1"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176" fontId="5" fillId="3" borderId="2" xfId="0" applyNumberFormat="1" applyFont="1" applyFill="1" applyBorder="1" applyAlignment="1">
      <alignment horizontal="center" vertical="center" wrapText="1"/>
    </xf>
    <xf numFmtId="0" fontId="1" fillId="2" borderId="0" xfId="0" applyFont="1" applyFill="1"/>
    <xf numFmtId="0" fontId="9" fillId="0" borderId="0" xfId="0" applyFont="1"/>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0" fillId="5" borderId="0" xfId="0" applyFill="1"/>
    <xf numFmtId="0" fontId="4" fillId="5" borderId="3" xfId="0" applyFont="1" applyFill="1" applyBorder="1" applyAlignment="1">
      <alignment horizontal="left" vertical="center" wrapText="1"/>
    </xf>
    <xf numFmtId="0" fontId="0" fillId="6" borderId="0" xfId="0" applyFill="1"/>
    <xf numFmtId="0" fontId="0" fillId="0" borderId="0" xfId="0" applyFill="1"/>
    <xf numFmtId="0" fontId="7" fillId="4" borderId="1" xfId="0" applyFont="1" applyFill="1" applyBorder="1" applyAlignment="1">
      <alignment horizontal="center" vertical="center" wrapText="1"/>
    </xf>
    <xf numFmtId="0" fontId="0" fillId="0" borderId="1" xfId="0" applyBorder="1"/>
    <xf numFmtId="0" fontId="2" fillId="2" borderId="0" xfId="0" applyFont="1" applyFill="1" applyAlignment="1">
      <alignment horizontal="left" vertical="center" indent="1"/>
    </xf>
    <xf numFmtId="0" fontId="6"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0" fillId="7" borderId="0" xfId="0" applyFill="1"/>
    <xf numFmtId="0" fontId="4" fillId="0" borderId="3" xfId="0" applyFont="1" applyFill="1" applyBorder="1" applyAlignment="1">
      <alignment horizontal="center" vertical="center" wrapText="1"/>
    </xf>
  </cellXfs>
  <cellStyles count="1">
    <cellStyle name="一般" xfId="0" builtinId="0"/>
  </cellStyles>
  <dxfs count="9">
    <dxf>
      <font>
        <sz val="10"/>
        <color rgb="FF383D41"/>
        <name val="Segoe UI"/>
      </font>
      <fill>
        <patternFill patternType="solid">
          <fgColor rgb="FFE2E3E5"/>
          <bgColor rgb="FFE2E3E5"/>
        </patternFill>
      </fill>
    </dxf>
    <dxf>
      <font>
        <b/>
        <sz val="10"/>
        <color rgb="FF856404"/>
        <name val="Segoe UI"/>
      </font>
      <fill>
        <patternFill patternType="solid">
          <fgColor rgb="FFFFF3CD"/>
          <bgColor rgb="FFFFF3CD"/>
        </patternFill>
      </fill>
    </dxf>
    <dxf>
      <font>
        <b/>
        <sz val="10"/>
        <color rgb="FF721C24"/>
        <name val="Segoe UI"/>
      </font>
      <fill>
        <patternFill patternType="solid">
          <fgColor rgb="FFF8D7DA"/>
          <bgColor rgb="FFF8D7DA"/>
        </patternFill>
      </fill>
    </dxf>
    <dxf>
      <font>
        <b/>
        <sz val="10"/>
        <color rgb="FF155724"/>
        <name val="Segoe UI"/>
      </font>
      <fill>
        <patternFill patternType="solid">
          <fgColor rgb="FFD4EDDA"/>
          <bgColor rgb="FFD4EDDA"/>
        </patternFill>
      </fill>
    </dxf>
    <dxf>
      <fill>
        <patternFill>
          <bgColor rgb="FFF2F7F8"/>
        </patternFill>
      </fill>
    </dxf>
    <dxf>
      <font>
        <sz val="10"/>
        <color rgb="FF383D41"/>
        <name val="Segoe UI"/>
      </font>
      <fill>
        <patternFill patternType="solid">
          <fgColor rgb="FFE2E3E5"/>
          <bgColor rgb="FFE2E3E5"/>
        </patternFill>
      </fill>
    </dxf>
    <dxf>
      <font>
        <b/>
        <sz val="10"/>
        <color rgb="FF856404"/>
        <name val="Segoe UI"/>
      </font>
      <fill>
        <patternFill patternType="solid">
          <fgColor rgb="FFFFF3CD"/>
          <bgColor rgb="FFFFF3CD"/>
        </patternFill>
      </fill>
    </dxf>
    <dxf>
      <font>
        <b/>
        <sz val="10"/>
        <color rgb="FF721C24"/>
        <name val="Segoe UI"/>
      </font>
      <fill>
        <patternFill patternType="solid">
          <fgColor rgb="FFF8D7DA"/>
          <bgColor rgb="FFF8D7DA"/>
        </patternFill>
      </fill>
    </dxf>
    <dxf>
      <font>
        <b/>
        <sz val="10"/>
        <color rgb="FF155724"/>
        <name val="Segoe UI"/>
      </font>
      <fill>
        <patternFill patternType="solid">
          <fgColor rgb="FFD4EDDA"/>
          <bgColor rgb="FFD4EDDA"/>
        </patternFill>
      </fill>
    </dxf>
  </dxfs>
  <tableStyles count="0" defaultTableStyle="TableStyleMedium9" defaultPivotStyle="PivotStyleLight16"/>
  <colors>
    <mruColors>
      <color rgb="FFF2F7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Inspection Results by Location</a:t>
            </a:r>
          </a:p>
        </c:rich>
      </c:tx>
      <c:overlay val="0"/>
    </c:title>
    <c:autoTitleDeleted val="0"/>
    <c:plotArea>
      <c:layout/>
      <c:barChart>
        <c:barDir val="col"/>
        <c:grouping val="clustered"/>
        <c:varyColors val="0"/>
        <c:ser>
          <c:idx val="0"/>
          <c:order val="0"/>
          <c:tx>
            <c:strRef>
              <c:f>'Summary Dashboard'!$C$6</c:f>
              <c:strCache>
                <c:ptCount val="1"/>
                <c:pt idx="0">
                  <c:v>Passed</c:v>
                </c:pt>
              </c:strCache>
            </c:strRef>
          </c:tx>
          <c:spPr>
            <a:ln>
              <a:prstDash val="solid"/>
            </a:ln>
          </c:spPr>
          <c:invertIfNegative val="0"/>
          <c:cat>
            <c:strRef>
              <c:f>'Summary Dashboard'!$A$7:$A$8</c:f>
              <c:strCache>
                <c:ptCount val="2"/>
                <c:pt idx="0">
                  <c:v>Ward Offices (APN/NO &amp; WM)</c:v>
                </c:pt>
                <c:pt idx="1">
                  <c:v>Patient Cubicle (6-Bed Room)</c:v>
                </c:pt>
              </c:strCache>
            </c:strRef>
          </c:cat>
          <c:val>
            <c:numRef>
              <c:f>'Summary Dashboard'!$C$7:$C$8</c:f>
              <c:numCache>
                <c:formatCode>General</c:formatCode>
                <c:ptCount val="2"/>
                <c:pt idx="0">
                  <c:v>0</c:v>
                </c:pt>
                <c:pt idx="1">
                  <c:v>0</c:v>
                </c:pt>
              </c:numCache>
            </c:numRef>
          </c:val>
          <c:extLst>
            <c:ext xmlns:c16="http://schemas.microsoft.com/office/drawing/2014/chart" uri="{C3380CC4-5D6E-409C-BE32-E72D297353CC}">
              <c16:uniqueId val="{00000000-2A3B-4B78-8A40-23D67924F470}"/>
            </c:ext>
          </c:extLst>
        </c:ser>
        <c:ser>
          <c:idx val="1"/>
          <c:order val="1"/>
          <c:tx>
            <c:strRef>
              <c:f>'Summary Dashboard'!$D$6</c:f>
              <c:strCache>
                <c:ptCount val="1"/>
                <c:pt idx="0">
                  <c:v>Failed</c:v>
                </c:pt>
              </c:strCache>
            </c:strRef>
          </c:tx>
          <c:spPr>
            <a:ln>
              <a:prstDash val="solid"/>
            </a:ln>
          </c:spPr>
          <c:invertIfNegative val="0"/>
          <c:cat>
            <c:strRef>
              <c:f>'Summary Dashboard'!$A$7:$A$8</c:f>
              <c:strCache>
                <c:ptCount val="2"/>
                <c:pt idx="0">
                  <c:v>Ward Offices (APN/NO &amp; WM)</c:v>
                </c:pt>
                <c:pt idx="1">
                  <c:v>Patient Cubicle (6-Bed Room)</c:v>
                </c:pt>
              </c:strCache>
            </c:strRef>
          </c:cat>
          <c:val>
            <c:numRef>
              <c:f>'Summary Dashboard'!$D$7:$D$8</c:f>
              <c:numCache>
                <c:formatCode>General</c:formatCode>
                <c:ptCount val="2"/>
                <c:pt idx="0">
                  <c:v>0</c:v>
                </c:pt>
                <c:pt idx="1">
                  <c:v>0</c:v>
                </c:pt>
              </c:numCache>
            </c:numRef>
          </c:val>
          <c:extLst>
            <c:ext xmlns:c16="http://schemas.microsoft.com/office/drawing/2014/chart" uri="{C3380CC4-5D6E-409C-BE32-E72D297353CC}">
              <c16:uniqueId val="{00000001-2A3B-4B78-8A40-23D67924F470}"/>
            </c:ext>
          </c:extLst>
        </c:ser>
        <c:ser>
          <c:idx val="2"/>
          <c:order val="2"/>
          <c:tx>
            <c:strRef>
              <c:f>'Summary Dashboard'!$E$6</c:f>
              <c:strCache>
                <c:ptCount val="1"/>
                <c:pt idx="0">
                  <c:v>Pending</c:v>
                </c:pt>
              </c:strCache>
            </c:strRef>
          </c:tx>
          <c:spPr>
            <a:ln>
              <a:prstDash val="solid"/>
            </a:ln>
          </c:spPr>
          <c:invertIfNegative val="0"/>
          <c:cat>
            <c:strRef>
              <c:f>'Summary Dashboard'!$A$7:$A$8</c:f>
              <c:strCache>
                <c:ptCount val="2"/>
                <c:pt idx="0">
                  <c:v>Ward Offices (APN/NO &amp; WM)</c:v>
                </c:pt>
                <c:pt idx="1">
                  <c:v>Patient Cubicle (6-Bed Room)</c:v>
                </c:pt>
              </c:strCache>
            </c:strRef>
          </c:cat>
          <c:val>
            <c:numRef>
              <c:f>'Summary Dashboard'!$E$7:$E$8</c:f>
              <c:numCache>
                <c:formatCode>General</c:formatCode>
                <c:ptCount val="2"/>
                <c:pt idx="0">
                  <c:v>0</c:v>
                </c:pt>
                <c:pt idx="1">
                  <c:v>0</c:v>
                </c:pt>
              </c:numCache>
            </c:numRef>
          </c:val>
          <c:extLst>
            <c:ext xmlns:c16="http://schemas.microsoft.com/office/drawing/2014/chart" uri="{C3380CC4-5D6E-409C-BE32-E72D297353CC}">
              <c16:uniqueId val="{00000002-2A3B-4B78-8A40-23D67924F470}"/>
            </c:ext>
          </c:extLst>
        </c:ser>
        <c:ser>
          <c:idx val="3"/>
          <c:order val="3"/>
          <c:tx>
            <c:strRef>
              <c:f>'Summary Dashboard'!$F$6</c:f>
              <c:strCache>
                <c:ptCount val="1"/>
                <c:pt idx="0">
                  <c:v>N/A</c:v>
                </c:pt>
              </c:strCache>
            </c:strRef>
          </c:tx>
          <c:spPr>
            <a:ln>
              <a:prstDash val="solid"/>
            </a:ln>
          </c:spPr>
          <c:invertIfNegative val="0"/>
          <c:cat>
            <c:strRef>
              <c:f>'Summary Dashboard'!$A$7:$A$8</c:f>
              <c:strCache>
                <c:ptCount val="2"/>
                <c:pt idx="0">
                  <c:v>Ward Offices (APN/NO &amp; WM)</c:v>
                </c:pt>
                <c:pt idx="1">
                  <c:v>Patient Cubicle (6-Bed Room)</c:v>
                </c:pt>
              </c:strCache>
            </c:strRef>
          </c:cat>
          <c:val>
            <c:numRef>
              <c:f>'Summary Dashboard'!$F$7:$F$8</c:f>
              <c:numCache>
                <c:formatCode>General</c:formatCode>
                <c:ptCount val="2"/>
                <c:pt idx="0">
                  <c:v>0</c:v>
                </c:pt>
                <c:pt idx="1">
                  <c:v>0</c:v>
                </c:pt>
              </c:numCache>
            </c:numRef>
          </c:val>
          <c:extLst>
            <c:ext xmlns:c16="http://schemas.microsoft.com/office/drawing/2014/chart" uri="{C3380CC4-5D6E-409C-BE32-E72D297353CC}">
              <c16:uniqueId val="{00000003-2A3B-4B78-8A40-23D67924F47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Zone</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Items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6480000" cy="43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workbookViewId="0">
      <selection activeCell="D19" sqref="D19"/>
    </sheetView>
  </sheetViews>
  <sheetFormatPr defaultRowHeight="15.75" x14ac:dyDescent="0.25"/>
  <cols>
    <col min="1" max="1" width="32" customWidth="1"/>
    <col min="2" max="2" width="46" customWidth="1"/>
    <col min="3" max="4" width="55" customWidth="1"/>
    <col min="5" max="5" width="58" customWidth="1"/>
    <col min="6" max="6" width="54" customWidth="1"/>
    <col min="7" max="7" width="16" customWidth="1"/>
  </cols>
  <sheetData>
    <row r="1" spans="1:7" x14ac:dyDescent="0.25">
      <c r="A1" s="21" t="s">
        <v>0</v>
      </c>
      <c r="B1" s="21"/>
      <c r="C1" s="21"/>
      <c r="D1" s="21"/>
      <c r="E1" s="21"/>
      <c r="F1" s="21"/>
      <c r="G1" s="21"/>
    </row>
    <row r="2" spans="1:7" x14ac:dyDescent="0.25">
      <c r="A2" s="21"/>
      <c r="B2" s="21"/>
      <c r="C2" s="21"/>
      <c r="D2" s="21"/>
      <c r="E2" s="21"/>
      <c r="F2" s="21"/>
      <c r="G2" s="21"/>
    </row>
    <row r="4" spans="1:7" ht="17.25" x14ac:dyDescent="0.3">
      <c r="A4" s="1" t="s">
        <v>1</v>
      </c>
    </row>
    <row r="6" spans="1:7" ht="16.5" x14ac:dyDescent="0.25">
      <c r="A6" s="2" t="s">
        <v>2</v>
      </c>
      <c r="B6" s="2" t="s">
        <v>3</v>
      </c>
      <c r="C6" s="2" t="s">
        <v>4</v>
      </c>
      <c r="D6" s="2" t="s">
        <v>5</v>
      </c>
      <c r="E6" s="2" t="s">
        <v>6</v>
      </c>
      <c r="F6" s="2" t="s">
        <v>7</v>
      </c>
      <c r="G6" s="2" t="s">
        <v>8</v>
      </c>
    </row>
    <row r="7" spans="1:7" x14ac:dyDescent="0.25">
      <c r="A7" s="3" t="s">
        <v>9</v>
      </c>
      <c r="B7" s="4">
        <f>COUNTA('Ward Office Checklist'!A6:A29)</f>
        <v>24</v>
      </c>
      <c r="C7" s="4">
        <f>COUNTIF('Ward Office Checklist'!E6:E29, "Pass")</f>
        <v>0</v>
      </c>
      <c r="D7" s="4">
        <f>COUNTIF('Ward Office Checklist'!E6:E29, "Fail")</f>
        <v>0</v>
      </c>
      <c r="E7" s="4">
        <f>COUNTIF('Ward Office Checklist'!E6:E29, "Pending")</f>
        <v>0</v>
      </c>
      <c r="F7" s="4">
        <f>COUNTIF('Ward Office Checklist'!E6:E29, "N/A")</f>
        <v>0</v>
      </c>
      <c r="G7" s="5">
        <f>(C7+D7)/B7</f>
        <v>0</v>
      </c>
    </row>
    <row r="8" spans="1:7" x14ac:dyDescent="0.25">
      <c r="A8" s="3" t="s">
        <v>10</v>
      </c>
      <c r="B8" s="4">
        <f>COUNTA('Patient Cubicle Checklist'!A6:A36)</f>
        <v>31</v>
      </c>
      <c r="C8" s="4">
        <f>COUNTIF('Patient Cubicle Checklist'!E6:E36, "Pass")</f>
        <v>0</v>
      </c>
      <c r="D8" s="4">
        <f>COUNTIF('Patient Cubicle Checklist'!E6:E36, "Fail")</f>
        <v>0</v>
      </c>
      <c r="E8" s="4">
        <f>COUNTIF('Patient Cubicle Checklist'!E6:E36, "Pending")</f>
        <v>0</v>
      </c>
      <c r="F8" s="4">
        <f>COUNTIF('Patient Cubicle Checklist'!E6:E36, "N/A")</f>
        <v>0</v>
      </c>
      <c r="G8" s="5">
        <f>(C8+D8)/B8</f>
        <v>0</v>
      </c>
    </row>
    <row r="9" spans="1:7" x14ac:dyDescent="0.25">
      <c r="A9" s="6" t="s">
        <v>11</v>
      </c>
      <c r="B9" s="7">
        <f>SUM(B7:B8)</f>
        <v>55</v>
      </c>
      <c r="C9" s="7">
        <f>SUM(C7:C8)</f>
        <v>0</v>
      </c>
      <c r="D9" s="7">
        <f>SUM(D7:D8)</f>
        <v>0</v>
      </c>
      <c r="E9" s="7">
        <f>SUM(E7:E8)</f>
        <v>0</v>
      </c>
      <c r="F9" s="7">
        <f>SUM(F7:F8)</f>
        <v>0</v>
      </c>
      <c r="G9" s="8">
        <f>(C9+D9)/B9</f>
        <v>0</v>
      </c>
    </row>
    <row r="11" spans="1:7" x14ac:dyDescent="0.25">
      <c r="A11" s="22" t="s">
        <v>12</v>
      </c>
      <c r="B11" s="20"/>
      <c r="D11" s="22" t="s">
        <v>13</v>
      </c>
      <c r="E11" s="20"/>
    </row>
    <row r="12" spans="1:7" x14ac:dyDescent="0.25">
      <c r="A12" s="19">
        <f>C9</f>
        <v>0</v>
      </c>
      <c r="B12" s="20"/>
      <c r="D12" s="23">
        <f>D9</f>
        <v>0</v>
      </c>
      <c r="E12" s="20"/>
    </row>
    <row r="13" spans="1:7" x14ac:dyDescent="0.25">
      <c r="A13" s="20"/>
      <c r="B13" s="20"/>
      <c r="D13" s="20"/>
      <c r="E13" s="20"/>
    </row>
  </sheetData>
  <mergeCells count="5">
    <mergeCell ref="A12:B13"/>
    <mergeCell ref="A1:G2"/>
    <mergeCell ref="D11:E11"/>
    <mergeCell ref="A11:B11"/>
    <mergeCell ref="D12:E13"/>
  </mergeCells>
  <phoneticPr fontId="10"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defaultRowHeight="15.75" x14ac:dyDescent="0.25"/>
  <sheetData>
    <row r="1" spans="1:1" ht="16.5" x14ac:dyDescent="0.3">
      <c r="A1" s="9" t="s">
        <v>14</v>
      </c>
    </row>
    <row r="2" spans="1:1" x14ac:dyDescent="0.25">
      <c r="A2" t="s">
        <v>15</v>
      </c>
    </row>
    <row r="3" spans="1:1" x14ac:dyDescent="0.25">
      <c r="A3" t="s">
        <v>16</v>
      </c>
    </row>
    <row r="4" spans="1:1" x14ac:dyDescent="0.25">
      <c r="A4" t="s">
        <v>6</v>
      </c>
    </row>
    <row r="5" spans="1:1" x14ac:dyDescent="0.25">
      <c r="A5" t="s">
        <v>7</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workbookViewId="0">
      <selection activeCell="G6" sqref="G6"/>
    </sheetView>
  </sheetViews>
  <sheetFormatPr defaultRowHeight="15.75" x14ac:dyDescent="0.25"/>
  <cols>
    <col min="1" max="1" width="11" customWidth="1"/>
    <col min="2" max="2" width="20" customWidth="1"/>
    <col min="3" max="3" width="24" customWidth="1"/>
    <col min="4" max="4" width="65" customWidth="1"/>
    <col min="5" max="5" width="11" customWidth="1"/>
    <col min="6" max="6" width="30" customWidth="1"/>
    <col min="7" max="7" width="18" customWidth="1"/>
  </cols>
  <sheetData>
    <row r="1" spans="1:7" x14ac:dyDescent="0.25">
      <c r="A1" s="21" t="s">
        <v>17</v>
      </c>
      <c r="B1" s="21"/>
      <c r="C1" s="21"/>
      <c r="D1" s="21"/>
      <c r="E1" s="21"/>
      <c r="F1" s="21"/>
      <c r="G1" s="21"/>
    </row>
    <row r="2" spans="1:7" x14ac:dyDescent="0.25">
      <c r="A2" s="21"/>
      <c r="B2" s="21"/>
      <c r="C2" s="21"/>
      <c r="D2" s="21"/>
      <c r="E2" s="21"/>
      <c r="F2" s="21"/>
      <c r="G2" s="21"/>
    </row>
    <row r="3" spans="1:7" x14ac:dyDescent="0.25">
      <c r="A3" t="s">
        <v>18</v>
      </c>
    </row>
    <row r="4" spans="1:7" x14ac:dyDescent="0.25">
      <c r="A4" s="10"/>
    </row>
    <row r="5" spans="1:7" ht="16.5" x14ac:dyDescent="0.25">
      <c r="A5" s="2" t="s">
        <v>19</v>
      </c>
      <c r="B5" s="2" t="s">
        <v>20</v>
      </c>
      <c r="C5" s="2" t="s">
        <v>21</v>
      </c>
      <c r="D5" s="2" t="s">
        <v>22</v>
      </c>
      <c r="E5" s="2" t="s">
        <v>23</v>
      </c>
      <c r="F5" s="2" t="s">
        <v>24</v>
      </c>
      <c r="G5" s="2" t="s">
        <v>25</v>
      </c>
    </row>
    <row r="6" spans="1:7" ht="28.5" x14ac:dyDescent="0.25">
      <c r="A6" s="4" t="s">
        <v>26</v>
      </c>
      <c r="B6" s="3" t="s">
        <v>27</v>
      </c>
      <c r="C6" s="3" t="s">
        <v>28</v>
      </c>
      <c r="D6" s="3" t="s">
        <v>29</v>
      </c>
      <c r="E6" s="4"/>
      <c r="F6" s="3"/>
      <c r="G6" s="4" t="s">
        <v>30</v>
      </c>
    </row>
    <row r="7" spans="1:7" ht="28.5" x14ac:dyDescent="0.25">
      <c r="A7" s="11" t="s">
        <v>31</v>
      </c>
      <c r="B7" s="12" t="s">
        <v>27</v>
      </c>
      <c r="C7" s="12" t="s">
        <v>32</v>
      </c>
      <c r="D7" s="12" t="s">
        <v>33</v>
      </c>
      <c r="E7" s="11"/>
      <c r="F7" s="12"/>
      <c r="G7" s="11" t="s">
        <v>30</v>
      </c>
    </row>
    <row r="8" spans="1:7" ht="28.5" x14ac:dyDescent="0.25">
      <c r="A8" s="4" t="s">
        <v>34</v>
      </c>
      <c r="B8" s="3" t="s">
        <v>27</v>
      </c>
      <c r="C8" s="3" t="s">
        <v>35</v>
      </c>
      <c r="D8" s="3" t="s">
        <v>36</v>
      </c>
      <c r="E8" s="4"/>
      <c r="F8" s="3"/>
      <c r="G8" s="4" t="s">
        <v>30</v>
      </c>
    </row>
    <row r="9" spans="1:7" ht="28.5" x14ac:dyDescent="0.25">
      <c r="A9" s="11" t="s">
        <v>37</v>
      </c>
      <c r="B9" s="12" t="s">
        <v>27</v>
      </c>
      <c r="C9" s="12" t="s">
        <v>38</v>
      </c>
      <c r="D9" s="12" t="s">
        <v>39</v>
      </c>
      <c r="E9" s="11"/>
      <c r="F9" s="12"/>
      <c r="G9" s="11" t="s">
        <v>30</v>
      </c>
    </row>
    <row r="10" spans="1:7" ht="28.5" x14ac:dyDescent="0.25">
      <c r="A10" s="4" t="s">
        <v>40</v>
      </c>
      <c r="B10" s="3" t="s">
        <v>27</v>
      </c>
      <c r="C10" s="3" t="s">
        <v>41</v>
      </c>
      <c r="D10" s="3" t="s">
        <v>42</v>
      </c>
      <c r="E10" s="4"/>
      <c r="F10" s="3"/>
      <c r="G10" s="4" t="s">
        <v>30</v>
      </c>
    </row>
    <row r="11" spans="1:7" ht="28.5" x14ac:dyDescent="0.25">
      <c r="A11" s="11" t="s">
        <v>43</v>
      </c>
      <c r="B11" s="12" t="s">
        <v>44</v>
      </c>
      <c r="C11" s="12" t="s">
        <v>45</v>
      </c>
      <c r="D11" s="12" t="s">
        <v>46</v>
      </c>
      <c r="E11" s="11"/>
      <c r="F11" s="12"/>
      <c r="G11" s="11" t="s">
        <v>30</v>
      </c>
    </row>
    <row r="12" spans="1:7" ht="28.5" x14ac:dyDescent="0.25">
      <c r="A12" s="4" t="s">
        <v>47</v>
      </c>
      <c r="B12" s="3" t="s">
        <v>44</v>
      </c>
      <c r="C12" s="3" t="s">
        <v>48</v>
      </c>
      <c r="D12" s="3" t="s">
        <v>49</v>
      </c>
      <c r="E12" s="4"/>
      <c r="F12" s="3"/>
      <c r="G12" s="4" t="s">
        <v>30</v>
      </c>
    </row>
    <row r="13" spans="1:7" ht="28.5" x14ac:dyDescent="0.25">
      <c r="A13" s="11" t="s">
        <v>50</v>
      </c>
      <c r="B13" s="12" t="s">
        <v>44</v>
      </c>
      <c r="C13" s="12" t="s">
        <v>51</v>
      </c>
      <c r="D13" s="12" t="s">
        <v>52</v>
      </c>
      <c r="E13" s="11"/>
      <c r="F13" s="12"/>
      <c r="G13" s="11" t="s">
        <v>30</v>
      </c>
    </row>
    <row r="14" spans="1:7" ht="28.5" x14ac:dyDescent="0.25">
      <c r="A14" s="4" t="s">
        <v>53</v>
      </c>
      <c r="B14" s="3" t="s">
        <v>44</v>
      </c>
      <c r="C14" s="3" t="s">
        <v>54</v>
      </c>
      <c r="D14" s="3" t="s">
        <v>55</v>
      </c>
      <c r="E14" s="4"/>
      <c r="F14" s="3"/>
      <c r="G14" s="4" t="s">
        <v>30</v>
      </c>
    </row>
    <row r="15" spans="1:7" ht="28.5" x14ac:dyDescent="0.25">
      <c r="A15" s="11" t="s">
        <v>56</v>
      </c>
      <c r="B15" s="12" t="s">
        <v>44</v>
      </c>
      <c r="C15" s="12" t="s">
        <v>57</v>
      </c>
      <c r="D15" s="12" t="s">
        <v>58</v>
      </c>
      <c r="E15" s="11"/>
      <c r="F15" s="12"/>
      <c r="G15" s="11" t="s">
        <v>30</v>
      </c>
    </row>
    <row r="16" spans="1:7" ht="28.5" x14ac:dyDescent="0.25">
      <c r="A16" s="4" t="s">
        <v>59</v>
      </c>
      <c r="B16" s="3" t="s">
        <v>44</v>
      </c>
      <c r="C16" s="3" t="s">
        <v>60</v>
      </c>
      <c r="D16" s="3" t="s">
        <v>61</v>
      </c>
      <c r="E16" s="4"/>
      <c r="F16" s="3"/>
      <c r="G16" s="4" t="s">
        <v>30</v>
      </c>
    </row>
    <row r="17" spans="1:7" ht="28.5" x14ac:dyDescent="0.25">
      <c r="A17" s="11" t="s">
        <v>62</v>
      </c>
      <c r="B17" s="12" t="s">
        <v>63</v>
      </c>
      <c r="C17" s="12" t="s">
        <v>64</v>
      </c>
      <c r="D17" s="12" t="s">
        <v>65</v>
      </c>
      <c r="E17" s="11"/>
      <c r="F17" s="12"/>
      <c r="G17" s="11" t="s">
        <v>30</v>
      </c>
    </row>
    <row r="18" spans="1:7" ht="28.5" x14ac:dyDescent="0.25">
      <c r="A18" s="4" t="s">
        <v>66</v>
      </c>
      <c r="B18" s="3" t="s">
        <v>63</v>
      </c>
      <c r="C18" s="3" t="s">
        <v>67</v>
      </c>
      <c r="D18" s="3" t="s">
        <v>68</v>
      </c>
      <c r="E18" s="4"/>
      <c r="F18" s="3"/>
      <c r="G18" s="4" t="s">
        <v>30</v>
      </c>
    </row>
    <row r="19" spans="1:7" ht="28.5" x14ac:dyDescent="0.25">
      <c r="A19" s="11" t="s">
        <v>69</v>
      </c>
      <c r="B19" s="12" t="s">
        <v>63</v>
      </c>
      <c r="C19" s="12" t="s">
        <v>70</v>
      </c>
      <c r="D19" s="12" t="s">
        <v>71</v>
      </c>
      <c r="E19" s="11"/>
      <c r="F19" s="12"/>
      <c r="G19" s="11" t="s">
        <v>30</v>
      </c>
    </row>
    <row r="20" spans="1:7" ht="28.5" x14ac:dyDescent="0.25">
      <c r="A20" s="4" t="s">
        <v>72</v>
      </c>
      <c r="B20" s="3" t="s">
        <v>63</v>
      </c>
      <c r="C20" s="3" t="s">
        <v>73</v>
      </c>
      <c r="D20" s="3" t="s">
        <v>74</v>
      </c>
      <c r="E20" s="4"/>
      <c r="F20" s="3"/>
      <c r="G20" s="4" t="s">
        <v>30</v>
      </c>
    </row>
    <row r="21" spans="1:7" ht="28.5" x14ac:dyDescent="0.25">
      <c r="A21" s="11" t="s">
        <v>75</v>
      </c>
      <c r="B21" s="12" t="s">
        <v>63</v>
      </c>
      <c r="C21" s="12" t="s">
        <v>76</v>
      </c>
      <c r="D21" s="12" t="s">
        <v>77</v>
      </c>
      <c r="E21" s="11"/>
      <c r="F21" s="12"/>
      <c r="G21" s="11" t="s">
        <v>30</v>
      </c>
    </row>
    <row r="22" spans="1:7" ht="28.5" x14ac:dyDescent="0.25">
      <c r="A22" s="4" t="s">
        <v>78</v>
      </c>
      <c r="B22" s="3" t="s">
        <v>63</v>
      </c>
      <c r="C22" s="3" t="s">
        <v>79</v>
      </c>
      <c r="D22" s="3" t="s">
        <v>80</v>
      </c>
      <c r="E22" s="4"/>
      <c r="F22" s="3"/>
      <c r="G22" s="4" t="s">
        <v>30</v>
      </c>
    </row>
    <row r="23" spans="1:7" ht="28.5" x14ac:dyDescent="0.25">
      <c r="A23" s="11" t="s">
        <v>81</v>
      </c>
      <c r="B23" s="12" t="s">
        <v>82</v>
      </c>
      <c r="C23" s="12" t="s">
        <v>83</v>
      </c>
      <c r="D23" s="12" t="s">
        <v>84</v>
      </c>
      <c r="E23" s="11"/>
      <c r="F23" s="12"/>
      <c r="G23" s="11" t="s">
        <v>30</v>
      </c>
    </row>
    <row r="24" spans="1:7" ht="28.5" x14ac:dyDescent="0.25">
      <c r="A24" s="4" t="s">
        <v>85</v>
      </c>
      <c r="B24" s="3" t="s">
        <v>82</v>
      </c>
      <c r="C24" s="3" t="s">
        <v>86</v>
      </c>
      <c r="D24" s="3" t="s">
        <v>87</v>
      </c>
      <c r="E24" s="4"/>
      <c r="F24" s="3"/>
      <c r="G24" s="4" t="s">
        <v>30</v>
      </c>
    </row>
    <row r="25" spans="1:7" ht="28.5" x14ac:dyDescent="0.25">
      <c r="A25" s="11" t="s">
        <v>88</v>
      </c>
      <c r="B25" s="12" t="s">
        <v>82</v>
      </c>
      <c r="C25" s="12" t="s">
        <v>89</v>
      </c>
      <c r="D25" s="12" t="s">
        <v>90</v>
      </c>
      <c r="E25" s="11"/>
      <c r="F25" s="12"/>
      <c r="G25" s="11" t="s">
        <v>30</v>
      </c>
    </row>
    <row r="26" spans="1:7" ht="28.5" x14ac:dyDescent="0.25">
      <c r="A26" s="4" t="s">
        <v>91</v>
      </c>
      <c r="B26" s="3" t="s">
        <v>82</v>
      </c>
      <c r="C26" s="3" t="s">
        <v>92</v>
      </c>
      <c r="D26" s="3" t="s">
        <v>93</v>
      </c>
      <c r="E26" s="4"/>
      <c r="F26" s="3"/>
      <c r="G26" s="4" t="s">
        <v>30</v>
      </c>
    </row>
    <row r="27" spans="1:7" ht="28.5" x14ac:dyDescent="0.25">
      <c r="A27" s="11" t="s">
        <v>94</v>
      </c>
      <c r="B27" s="12" t="s">
        <v>95</v>
      </c>
      <c r="C27" s="12" t="s">
        <v>96</v>
      </c>
      <c r="D27" s="12" t="s">
        <v>97</v>
      </c>
      <c r="E27" s="11"/>
      <c r="F27" s="12"/>
      <c r="G27" s="11" t="s">
        <v>30</v>
      </c>
    </row>
    <row r="28" spans="1:7" ht="28.5" x14ac:dyDescent="0.25">
      <c r="A28" s="4" t="s">
        <v>98</v>
      </c>
      <c r="B28" s="3" t="s">
        <v>95</v>
      </c>
      <c r="C28" s="3" t="s">
        <v>99</v>
      </c>
      <c r="D28" s="3" t="s">
        <v>100</v>
      </c>
      <c r="E28" s="4"/>
      <c r="F28" s="3"/>
      <c r="G28" s="4" t="s">
        <v>30</v>
      </c>
    </row>
    <row r="29" spans="1:7" ht="28.5" x14ac:dyDescent="0.25">
      <c r="A29" s="11" t="s">
        <v>101</v>
      </c>
      <c r="B29" s="12" t="s">
        <v>95</v>
      </c>
      <c r="C29" s="12" t="s">
        <v>102</v>
      </c>
      <c r="D29" s="12" t="s">
        <v>103</v>
      </c>
      <c r="E29" s="11"/>
      <c r="F29" s="12"/>
      <c r="G29" s="11" t="s">
        <v>30</v>
      </c>
    </row>
  </sheetData>
  <mergeCells count="1">
    <mergeCell ref="A1:G2"/>
  </mergeCells>
  <phoneticPr fontId="10" type="noConversion"/>
  <conditionalFormatting sqref="E6:E29">
    <cfRule type="cellIs" dxfId="8" priority="1" stopIfTrue="1" operator="equal">
      <formula>"Pass"</formula>
    </cfRule>
    <cfRule type="cellIs" dxfId="7" priority="2" stopIfTrue="1" operator="equal">
      <formula>"Fail"</formula>
    </cfRule>
    <cfRule type="cellIs" dxfId="6" priority="3" stopIfTrue="1" operator="equal">
      <formula>"Pending"</formula>
    </cfRule>
    <cfRule type="cellIs" dxfId="5" priority="4" stopIfTrue="1" operator="equal">
      <formula>"N/A"</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Title="Invalid Entry" error="Your entry is not in the list" promptTitle="Status" prompt="Please select from the list" xr:uid="{00000000-0002-0000-0200-000000000000}">
          <x14:formula1>
            <xm:f>Settings_Ref!$A$2:$A$5</xm:f>
          </x14:formula1>
          <xm:sqref>E6:E29 E6:E30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8"/>
  <sheetViews>
    <sheetView tabSelected="1" topLeftCell="A22" zoomScale="130" zoomScaleNormal="130" workbookViewId="0">
      <selection activeCell="F38" sqref="F38"/>
    </sheetView>
  </sheetViews>
  <sheetFormatPr defaultRowHeight="15.75" x14ac:dyDescent="0.25"/>
  <cols>
    <col min="1" max="1" width="11" customWidth="1"/>
    <col min="2" max="2" width="20" customWidth="1"/>
    <col min="3" max="3" width="24" customWidth="1"/>
    <col min="4" max="4" width="65" customWidth="1"/>
    <col min="5" max="5" width="11" customWidth="1"/>
    <col min="6" max="6" width="30" customWidth="1"/>
    <col min="7" max="7" width="31" customWidth="1"/>
  </cols>
  <sheetData>
    <row r="1" spans="1:8" x14ac:dyDescent="0.25">
      <c r="A1" s="21" t="s">
        <v>104</v>
      </c>
      <c r="B1" s="21"/>
      <c r="C1" s="21"/>
      <c r="D1" s="21"/>
      <c r="E1" s="21"/>
      <c r="F1" s="21"/>
      <c r="G1" s="21"/>
    </row>
    <row r="2" spans="1:8" x14ac:dyDescent="0.25">
      <c r="A2" s="21"/>
      <c r="B2" s="21"/>
      <c r="C2" s="21"/>
      <c r="D2" s="21"/>
      <c r="E2" s="21"/>
      <c r="F2" s="21"/>
      <c r="G2" s="21"/>
    </row>
    <row r="3" spans="1:8" x14ac:dyDescent="0.25">
      <c r="A3" t="s">
        <v>18</v>
      </c>
    </row>
    <row r="4" spans="1:8" x14ac:dyDescent="0.25">
      <c r="A4" s="10"/>
    </row>
    <row r="5" spans="1:8" ht="16.5" x14ac:dyDescent="0.25">
      <c r="A5" s="2" t="s">
        <v>19</v>
      </c>
      <c r="B5" s="2" t="s">
        <v>20</v>
      </c>
      <c r="C5" s="2" t="s">
        <v>21</v>
      </c>
      <c r="D5" s="2" t="s">
        <v>22</v>
      </c>
      <c r="E5" s="2" t="s">
        <v>23</v>
      </c>
      <c r="F5" s="2" t="s">
        <v>24</v>
      </c>
      <c r="G5" s="2" t="s">
        <v>105</v>
      </c>
    </row>
    <row r="6" spans="1:8" ht="63.75" customHeight="1" x14ac:dyDescent="0.25">
      <c r="A6" s="13" t="s">
        <v>184</v>
      </c>
      <c r="B6" s="14" t="s">
        <v>185</v>
      </c>
      <c r="C6" s="14" t="s">
        <v>187</v>
      </c>
      <c r="D6" s="14" t="s">
        <v>188</v>
      </c>
      <c r="E6" s="13"/>
      <c r="F6" s="14"/>
      <c r="G6" s="13" t="s">
        <v>109</v>
      </c>
      <c r="H6" s="15"/>
    </row>
    <row r="7" spans="1:8" ht="28.5" x14ac:dyDescent="0.25">
      <c r="A7" s="13" t="s">
        <v>107</v>
      </c>
      <c r="B7" s="14" t="s">
        <v>27</v>
      </c>
      <c r="C7" s="14" t="s">
        <v>108</v>
      </c>
      <c r="D7" s="14" t="s">
        <v>189</v>
      </c>
      <c r="E7" s="13"/>
      <c r="F7" s="14"/>
      <c r="G7" s="13" t="s">
        <v>109</v>
      </c>
      <c r="H7" s="16"/>
    </row>
    <row r="8" spans="1:8" ht="57" x14ac:dyDescent="0.25">
      <c r="A8" s="13" t="s">
        <v>110</v>
      </c>
      <c r="B8" s="14" t="s">
        <v>177</v>
      </c>
      <c r="C8" s="14" t="s">
        <v>178</v>
      </c>
      <c r="D8" s="14" t="s">
        <v>180</v>
      </c>
      <c r="E8" s="13"/>
      <c r="F8" s="14"/>
      <c r="G8" s="13" t="s">
        <v>109</v>
      </c>
      <c r="H8" s="17" t="s">
        <v>190</v>
      </c>
    </row>
    <row r="9" spans="1:8" ht="57" x14ac:dyDescent="0.25">
      <c r="A9" s="13" t="s">
        <v>112</v>
      </c>
      <c r="B9" s="14" t="s">
        <v>177</v>
      </c>
      <c r="C9" s="14" t="s">
        <v>179</v>
      </c>
      <c r="D9" s="14" t="s">
        <v>181</v>
      </c>
      <c r="E9" s="13"/>
      <c r="F9" s="14"/>
      <c r="G9" s="13" t="s">
        <v>109</v>
      </c>
      <c r="H9" s="17" t="s">
        <v>190</v>
      </c>
    </row>
    <row r="10" spans="1:8" ht="72.75" customHeight="1" x14ac:dyDescent="0.25">
      <c r="A10" s="13" t="s">
        <v>192</v>
      </c>
      <c r="B10" s="14" t="s">
        <v>185</v>
      </c>
      <c r="C10" s="14" t="s">
        <v>193</v>
      </c>
      <c r="D10" s="14" t="s">
        <v>194</v>
      </c>
      <c r="E10" s="13"/>
      <c r="F10" s="14"/>
      <c r="G10" s="13" t="s">
        <v>171</v>
      </c>
      <c r="H10" s="18"/>
    </row>
    <row r="11" spans="1:8" ht="42.75" x14ac:dyDescent="0.25">
      <c r="A11" s="13" t="s">
        <v>114</v>
      </c>
      <c r="B11" s="14" t="s">
        <v>27</v>
      </c>
      <c r="C11" s="14" t="s">
        <v>191</v>
      </c>
      <c r="D11" s="14" t="s">
        <v>195</v>
      </c>
      <c r="E11" s="14"/>
      <c r="G11" s="13" t="s">
        <v>111</v>
      </c>
    </row>
    <row r="12" spans="1:8" ht="28.5" x14ac:dyDescent="0.25">
      <c r="A12" s="13" t="s">
        <v>117</v>
      </c>
      <c r="B12" s="14" t="s">
        <v>27</v>
      </c>
      <c r="C12" s="14" t="s">
        <v>173</v>
      </c>
      <c r="D12" s="14" t="s">
        <v>196</v>
      </c>
      <c r="E12" s="13"/>
      <c r="F12" s="14"/>
      <c r="G12" s="13" t="s">
        <v>116</v>
      </c>
    </row>
    <row r="13" spans="1:8" ht="28.5" x14ac:dyDescent="0.25">
      <c r="A13" s="13" t="s">
        <v>118</v>
      </c>
      <c r="B13" s="14" t="s">
        <v>27</v>
      </c>
      <c r="C13" s="14" t="s">
        <v>197</v>
      </c>
      <c r="D13" s="14" t="s">
        <v>198</v>
      </c>
      <c r="E13" s="13"/>
      <c r="F13" s="14"/>
      <c r="G13" s="13" t="s">
        <v>113</v>
      </c>
    </row>
    <row r="14" spans="1:8" ht="28.5" x14ac:dyDescent="0.25">
      <c r="A14" s="13" t="s">
        <v>120</v>
      </c>
      <c r="B14" s="14" t="s">
        <v>27</v>
      </c>
      <c r="C14" s="14" t="s">
        <v>170</v>
      </c>
      <c r="D14" s="14" t="s">
        <v>199</v>
      </c>
      <c r="E14" s="13"/>
      <c r="F14" s="14"/>
      <c r="G14" s="13" t="s">
        <v>171</v>
      </c>
    </row>
    <row r="15" spans="1:8" ht="28.5" x14ac:dyDescent="0.25">
      <c r="A15" s="13" t="s">
        <v>121</v>
      </c>
      <c r="B15" s="14" t="s">
        <v>27</v>
      </c>
      <c r="C15" s="14" t="s">
        <v>115</v>
      </c>
      <c r="D15" s="14" t="s">
        <v>199</v>
      </c>
      <c r="E15" s="13"/>
      <c r="F15" s="14"/>
      <c r="G15" s="13" t="s">
        <v>116</v>
      </c>
    </row>
    <row r="16" spans="1:8" ht="28.5" x14ac:dyDescent="0.25">
      <c r="A16" s="13" t="s">
        <v>124</v>
      </c>
      <c r="B16" s="14" t="s">
        <v>63</v>
      </c>
      <c r="C16" s="14" t="s">
        <v>176</v>
      </c>
      <c r="D16" s="14" t="s">
        <v>200</v>
      </c>
      <c r="E16" s="13"/>
      <c r="F16" s="14"/>
      <c r="G16" s="13" t="s">
        <v>116</v>
      </c>
    </row>
    <row r="17" spans="1:8" ht="28.5" x14ac:dyDescent="0.25">
      <c r="A17" s="13" t="s">
        <v>126</v>
      </c>
      <c r="B17" s="14" t="s">
        <v>63</v>
      </c>
      <c r="C17" s="14" t="s">
        <v>119</v>
      </c>
      <c r="D17" s="14" t="s">
        <v>201</v>
      </c>
      <c r="E17" s="13"/>
      <c r="F17" s="14"/>
      <c r="G17" s="13" t="s">
        <v>186</v>
      </c>
    </row>
    <row r="18" spans="1:8" x14ac:dyDescent="0.25">
      <c r="A18" s="13" t="s">
        <v>128</v>
      </c>
      <c r="B18" s="14" t="s">
        <v>63</v>
      </c>
      <c r="C18" s="14" t="s">
        <v>70</v>
      </c>
      <c r="D18" s="14" t="s">
        <v>202</v>
      </c>
      <c r="E18" s="13"/>
      <c r="F18" s="14"/>
      <c r="G18" s="13" t="s">
        <v>106</v>
      </c>
    </row>
    <row r="19" spans="1:8" x14ac:dyDescent="0.25">
      <c r="A19" s="13" t="s">
        <v>130</v>
      </c>
      <c r="B19" s="14" t="s">
        <v>63</v>
      </c>
      <c r="C19" s="14" t="s">
        <v>122</v>
      </c>
      <c r="D19" s="14" t="s">
        <v>203</v>
      </c>
      <c r="E19" s="13"/>
      <c r="F19" s="14"/>
      <c r="G19" s="13" t="s">
        <v>123</v>
      </c>
    </row>
    <row r="20" spans="1:8" ht="28.5" x14ac:dyDescent="0.25">
      <c r="A20" s="13" t="s">
        <v>131</v>
      </c>
      <c r="B20" s="14" t="s">
        <v>63</v>
      </c>
      <c r="C20" s="14" t="s">
        <v>125</v>
      </c>
      <c r="D20" s="14" t="s">
        <v>204</v>
      </c>
      <c r="E20" s="13"/>
      <c r="F20" s="14"/>
      <c r="G20" s="13" t="s">
        <v>106</v>
      </c>
    </row>
    <row r="21" spans="1:8" ht="28.5" x14ac:dyDescent="0.25">
      <c r="A21" s="13" t="s">
        <v>133</v>
      </c>
      <c r="B21" s="14" t="s">
        <v>95</v>
      </c>
      <c r="C21" s="14" t="s">
        <v>127</v>
      </c>
      <c r="D21" s="14" t="s">
        <v>205</v>
      </c>
      <c r="E21" s="13"/>
      <c r="F21" s="14"/>
      <c r="G21" s="13" t="s">
        <v>116</v>
      </c>
    </row>
    <row r="22" spans="1:8" ht="28.5" x14ac:dyDescent="0.25">
      <c r="A22" s="13" t="s">
        <v>136</v>
      </c>
      <c r="B22" s="14" t="s">
        <v>95</v>
      </c>
      <c r="C22" s="14" t="s">
        <v>129</v>
      </c>
      <c r="D22" s="14" t="s">
        <v>206</v>
      </c>
      <c r="E22" s="13"/>
      <c r="F22" s="14"/>
      <c r="G22" s="13" t="s">
        <v>116</v>
      </c>
    </row>
    <row r="23" spans="1:8" ht="28.5" x14ac:dyDescent="0.25">
      <c r="A23" s="13" t="s">
        <v>139</v>
      </c>
      <c r="B23" s="14" t="s">
        <v>95</v>
      </c>
      <c r="C23" s="14" t="s">
        <v>99</v>
      </c>
      <c r="D23" s="14" t="s">
        <v>207</v>
      </c>
      <c r="E23" s="13"/>
      <c r="F23" s="14"/>
      <c r="G23" s="13" t="s">
        <v>116</v>
      </c>
    </row>
    <row r="24" spans="1:8" ht="28.5" x14ac:dyDescent="0.25">
      <c r="A24" s="13" t="s">
        <v>141</v>
      </c>
      <c r="B24" s="14" t="s">
        <v>95</v>
      </c>
      <c r="C24" s="14" t="s">
        <v>132</v>
      </c>
      <c r="D24" s="14" t="s">
        <v>208</v>
      </c>
      <c r="E24" s="13"/>
      <c r="F24" s="14"/>
      <c r="G24" s="13" t="s">
        <v>116</v>
      </c>
    </row>
    <row r="25" spans="1:8" ht="28.5" x14ac:dyDescent="0.25">
      <c r="A25" s="13" t="s">
        <v>143</v>
      </c>
      <c r="B25" s="14" t="s">
        <v>95</v>
      </c>
      <c r="C25" s="14" t="s">
        <v>134</v>
      </c>
      <c r="D25" s="14" t="s">
        <v>135</v>
      </c>
      <c r="E25" s="13"/>
      <c r="F25" s="14"/>
      <c r="G25" s="13" t="s">
        <v>116</v>
      </c>
    </row>
    <row r="26" spans="1:8" ht="28.5" x14ac:dyDescent="0.25">
      <c r="A26" s="13" t="s">
        <v>148</v>
      </c>
      <c r="B26" s="14" t="s">
        <v>95</v>
      </c>
      <c r="C26" s="14" t="s">
        <v>137</v>
      </c>
      <c r="D26" s="14" t="s">
        <v>138</v>
      </c>
      <c r="E26" s="13"/>
      <c r="F26" s="14"/>
      <c r="G26" s="13" t="s">
        <v>116</v>
      </c>
    </row>
    <row r="27" spans="1:8" ht="28.5" x14ac:dyDescent="0.25">
      <c r="A27" s="13" t="s">
        <v>151</v>
      </c>
      <c r="B27" s="14" t="s">
        <v>95</v>
      </c>
      <c r="C27" s="14" t="s">
        <v>140</v>
      </c>
      <c r="D27" s="14" t="s">
        <v>209</v>
      </c>
      <c r="E27" s="13"/>
      <c r="F27" s="14"/>
      <c r="G27" s="13" t="s">
        <v>116</v>
      </c>
      <c r="H27" s="24" t="s">
        <v>210</v>
      </c>
    </row>
    <row r="28" spans="1:8" ht="28.5" x14ac:dyDescent="0.25">
      <c r="A28" s="13" t="s">
        <v>154</v>
      </c>
      <c r="B28" s="14" t="s">
        <v>95</v>
      </c>
      <c r="C28" s="14" t="s">
        <v>142</v>
      </c>
      <c r="D28" s="14" t="s">
        <v>209</v>
      </c>
      <c r="E28" s="13"/>
      <c r="F28" s="14"/>
      <c r="G28" s="13" t="s">
        <v>116</v>
      </c>
      <c r="H28" s="24"/>
    </row>
    <row r="29" spans="1:8" ht="28.5" x14ac:dyDescent="0.25">
      <c r="A29" s="13" t="s">
        <v>157</v>
      </c>
      <c r="B29" s="14" t="s">
        <v>95</v>
      </c>
      <c r="C29" s="14" t="s">
        <v>172</v>
      </c>
      <c r="D29" s="14" t="s">
        <v>208</v>
      </c>
      <c r="E29" s="13"/>
      <c r="F29" s="14"/>
      <c r="G29" s="13" t="s">
        <v>169</v>
      </c>
    </row>
    <row r="30" spans="1:8" ht="28.5" x14ac:dyDescent="0.25">
      <c r="A30" s="13" t="s">
        <v>160</v>
      </c>
      <c r="B30" s="14" t="s">
        <v>144</v>
      </c>
      <c r="C30" s="14" t="s">
        <v>145</v>
      </c>
      <c r="D30" s="14" t="s">
        <v>146</v>
      </c>
      <c r="E30" s="13"/>
      <c r="F30" s="14"/>
      <c r="G30" s="13" t="s">
        <v>147</v>
      </c>
    </row>
    <row r="31" spans="1:8" ht="28.5" x14ac:dyDescent="0.25">
      <c r="A31" s="13" t="s">
        <v>165</v>
      </c>
      <c r="B31" s="14" t="s">
        <v>144</v>
      </c>
      <c r="C31" s="14" t="s">
        <v>149</v>
      </c>
      <c r="D31" s="14" t="s">
        <v>150</v>
      </c>
      <c r="E31" s="13"/>
      <c r="F31" s="14"/>
      <c r="G31" s="13" t="s">
        <v>147</v>
      </c>
    </row>
    <row r="32" spans="1:8" ht="28.5" x14ac:dyDescent="0.25">
      <c r="A32" s="13" t="s">
        <v>168</v>
      </c>
      <c r="B32" s="14" t="s">
        <v>144</v>
      </c>
      <c r="C32" s="14" t="s">
        <v>152</v>
      </c>
      <c r="D32" s="14" t="s">
        <v>153</v>
      </c>
      <c r="E32" s="13"/>
      <c r="F32" s="14"/>
      <c r="G32" s="13" t="s">
        <v>147</v>
      </c>
    </row>
    <row r="33" spans="1:7" ht="28.5" x14ac:dyDescent="0.25">
      <c r="A33" s="13" t="s">
        <v>174</v>
      </c>
      <c r="B33" s="14" t="s">
        <v>144</v>
      </c>
      <c r="C33" s="14" t="s">
        <v>155</v>
      </c>
      <c r="D33" s="14" t="s">
        <v>156</v>
      </c>
      <c r="E33" s="13"/>
      <c r="F33" s="14"/>
      <c r="G33" s="13" t="s">
        <v>147</v>
      </c>
    </row>
    <row r="34" spans="1:7" ht="28.5" x14ac:dyDescent="0.25">
      <c r="A34" s="13" t="s">
        <v>175</v>
      </c>
      <c r="B34" s="14" t="s">
        <v>144</v>
      </c>
      <c r="C34" s="14" t="s">
        <v>158</v>
      </c>
      <c r="D34" s="14" t="s">
        <v>159</v>
      </c>
      <c r="E34" s="13"/>
      <c r="F34" s="14"/>
      <c r="G34" s="13" t="s">
        <v>147</v>
      </c>
    </row>
    <row r="35" spans="1:7" ht="28.5" x14ac:dyDescent="0.25">
      <c r="A35" s="13" t="s">
        <v>182</v>
      </c>
      <c r="B35" s="14" t="s">
        <v>161</v>
      </c>
      <c r="C35" s="14" t="s">
        <v>162</v>
      </c>
      <c r="D35" s="14" t="s">
        <v>163</v>
      </c>
      <c r="E35" s="13"/>
      <c r="F35" s="14"/>
      <c r="G35" s="13" t="s">
        <v>164</v>
      </c>
    </row>
    <row r="36" spans="1:7" ht="28.5" x14ac:dyDescent="0.25">
      <c r="A36" s="13" t="s">
        <v>183</v>
      </c>
      <c r="B36" s="14" t="s">
        <v>161</v>
      </c>
      <c r="C36" s="14" t="s">
        <v>166</v>
      </c>
      <c r="D36" s="14" t="s">
        <v>167</v>
      </c>
      <c r="E36" s="13"/>
      <c r="F36" s="14"/>
      <c r="G36" s="13" t="s">
        <v>164</v>
      </c>
    </row>
    <row r="37" spans="1:7" ht="28.5" x14ac:dyDescent="0.25">
      <c r="A37" s="13" t="s">
        <v>211</v>
      </c>
      <c r="B37" s="14" t="s">
        <v>161</v>
      </c>
      <c r="C37" s="14" t="s">
        <v>212</v>
      </c>
      <c r="D37" s="14" t="s">
        <v>163</v>
      </c>
      <c r="E37" s="13"/>
      <c r="F37" s="14"/>
      <c r="G37" s="13" t="s">
        <v>164</v>
      </c>
    </row>
    <row r="38" spans="1:7" x14ac:dyDescent="0.25">
      <c r="A38" s="25"/>
    </row>
  </sheetData>
  <mergeCells count="1">
    <mergeCell ref="A1:G2"/>
  </mergeCells>
  <phoneticPr fontId="10" type="noConversion"/>
  <conditionalFormatting sqref="H7 A6:G10 G11 A11:E11 A38 A12:G37">
    <cfRule type="expression" dxfId="4" priority="1">
      <formula>MOD(ROW(),2)=0</formula>
    </cfRule>
  </conditionalFormatting>
  <conditionalFormatting sqref="E6:E37">
    <cfRule type="cellIs" dxfId="3" priority="3" stopIfTrue="1" operator="equal">
      <formula>"Pass"</formula>
    </cfRule>
    <cfRule type="cellIs" dxfId="2" priority="4" stopIfTrue="1" operator="equal">
      <formula>"Fail"</formula>
    </cfRule>
    <cfRule type="cellIs" dxfId="1" priority="5" stopIfTrue="1" operator="equal">
      <formula>"Pending"</formula>
    </cfRule>
    <cfRule type="cellIs" dxfId="0" priority="6" stopIfTrue="1" operator="equal">
      <formula>"N/A"</formula>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errorTitle="Invalid Entry" error="Your entry is not in the list" promptTitle="Status" prompt="Please select from the list" xr:uid="{00000000-0002-0000-0300-000000000000}">
          <x14:formula1>
            <xm:f>Settings_Ref!$A$2:$A$5</xm:f>
          </x14:formula1>
          <xm:sqref>E6:E37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Summary Dashboard</vt:lpstr>
      <vt:lpstr>Settings_Ref</vt:lpstr>
      <vt:lpstr>Ward Office Checklist</vt:lpstr>
      <vt:lpstr>Patient Cubicle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Wilson Cheuk Fai LAM, NTECP&amp;C APN(P&amp;C)/PWHCND APN(CND)</cp:lastModifiedBy>
  <dcterms:created xsi:type="dcterms:W3CDTF">2026-06-11T08:54:38Z</dcterms:created>
  <dcterms:modified xsi:type="dcterms:W3CDTF">2026-06-15T06:50:08Z</dcterms:modified>
</cp:coreProperties>
</file>